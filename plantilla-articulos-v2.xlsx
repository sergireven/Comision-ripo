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sa\Documents\sergi\projectes\Comision-ripo\"/>
    </mc:Choice>
  </mc:AlternateContent>
  <xr:revisionPtr revIDLastSave="0" documentId="13_ncr:1_{F9D16BCB-5484-4A8A-A326-CF1AFB362507}" xr6:coauthVersionLast="47" xr6:coauthVersionMax="47" xr10:uidLastSave="{00000000-0000-0000-0000-000000000000}"/>
  <bookViews>
    <workbookView xWindow="-98" yWindow="-98" windowWidth="19396" windowHeight="10395" activeTab="1" xr2:uid="{00000000-000D-0000-FFFF-FFFF00000000}"/>
  </bookViews>
  <sheets>
    <sheet name="Leyenda" sheetId="1" r:id="rId1"/>
    <sheet name="Artículos" sheetId="2" r:id="rId2"/>
    <sheet name="Packs" sheetId="3" r:id="rId3"/>
    <sheet name="Listas" sheetId="4" r:id="rId4"/>
  </sheets>
  <definedNames>
    <definedName name="_xlnm._FilterDatabase" localSheetId="1" hidden="1">Artículos!$A$1:$P$13</definedName>
    <definedName name="_xlnm._FilterDatabase" localSheetId="2" hidden="1">Packs!$A$1:$L$7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 a="1"/>
  <c r="K7" i="3" s="1"/>
  <c r="K6" i="3" a="1"/>
  <c r="K6" i="3" s="1"/>
  <c r="K5" i="3" a="1"/>
  <c r="K5" i="3" s="1"/>
  <c r="K4" i="3" a="1"/>
  <c r="K4" i="3" s="1"/>
  <c r="K3" i="3" a="1"/>
  <c r="K3" i="3" s="1"/>
  <c r="K2" i="3" a="1"/>
  <c r="K2" i="3" s="1"/>
</calcChain>
</file>

<file path=xl/sharedStrings.xml><?xml version="1.0" encoding="utf-8"?>
<sst xmlns="http://schemas.openxmlformats.org/spreadsheetml/2006/main" count="202" uniqueCount="150">
  <si>
    <t>ID</t>
  </si>
  <si>
    <t>Nombre (castellano)</t>
  </si>
  <si>
    <t>Nombre (catalán)</t>
  </si>
  <si>
    <t>Precio (€)</t>
  </si>
  <si>
    <t>Categoría</t>
  </si>
  <si>
    <t>Colores (separados por comas)</t>
  </si>
  <si>
    <t>Opciones (separadas por comas)</t>
  </si>
  <si>
    <t>Tallas (separadas por comas)</t>
  </si>
  <si>
    <t>Personalización (qué debe indicar la familia)</t>
  </si>
  <si>
    <t>Incluido en packs (ID de pack, separados por comas)</t>
  </si>
  <si>
    <t>Descripción (castellano)</t>
  </si>
  <si>
    <t>Descripción (catalán)</t>
  </si>
  <si>
    <t>Foto (carpeta img)</t>
  </si>
  <si>
    <t>Guía de tallas (carpeta img)</t>
  </si>
  <si>
    <t>Visible (Sí/No)</t>
  </si>
  <si>
    <t>Notas / dudas</t>
  </si>
  <si>
    <t>Bufanda</t>
  </si>
  <si>
    <t>Bufandas</t>
  </si>
  <si>
    <t>102, 103, 104, 105, 106</t>
  </si>
  <si>
    <t>Bufanda amarilla «Hoquei Ripollet» con el escudo en los dos extremos.</t>
  </si>
  <si>
    <t>Bufanda groga «Hoquei Ripollet» amb l'escut als dos extrems.</t>
  </si>
  <si>
    <t>bufanda.png</t>
  </si>
  <si>
    <t>Sí</t>
  </si>
  <si>
    <t>Botella personalizada</t>
  </si>
  <si>
    <t>Ampolla personalitzada</t>
  </si>
  <si>
    <t>Accesorios</t>
  </si>
  <si>
    <t>Nombre + número</t>
  </si>
  <si>
    <t>101</t>
  </si>
  <si>
    <t>Botellas.jpg</t>
  </si>
  <si>
    <t>Mochila</t>
  </si>
  <si>
    <t>Motxilla</t>
  </si>
  <si>
    <t>Mochilas</t>
  </si>
  <si>
    <t>Negro, Amarillo, Azul</t>
  </si>
  <si>
    <t>Mochilas.jpg</t>
  </si>
  <si>
    <t>Nombres de colores deducidos de la foto: confirmar.</t>
  </si>
  <si>
    <t>Buff</t>
  </si>
  <si>
    <t>Amarillo, Azul marino, Azul claro</t>
  </si>
  <si>
    <t>Buffs.jpg</t>
  </si>
  <si>
    <t>Camiseta afició</t>
  </si>
  <si>
    <t>Samarreta afició</t>
  </si>
  <si>
    <t>Camisetas</t>
  </si>
  <si>
    <t>1/2, 3/4, 5/6, 7/8, 9/10, 11/12, XS, S, M, L, XL, 2XL, 3XL, 4XL</t>
  </si>
  <si>
    <t>102, 105, 106</t>
  </si>
  <si>
    <t>Camiseta con el pollito del club delante y «¡Ripo Ripo!» detrás.</t>
  </si>
  <si>
    <t>Samarreta amb el pollet del club al davant i «Ripo Ripo!» al darrere.</t>
  </si>
  <si>
    <t>Camisetas.jpg</t>
  </si>
  <si>
    <t>medidasCamisetas.png</t>
  </si>
  <si>
    <t>Nombres de colores deducidos de la foto: confirmar. 5XL: de momento como en la tabla de medidas (sin 5XL).</t>
  </si>
  <si>
    <t>Sudadera sin capucha</t>
  </si>
  <si>
    <t>Dessuadora sense caputxa</t>
  </si>
  <si>
    <t>Sudaderas</t>
  </si>
  <si>
    <t>Azul marino, Negro</t>
  </si>
  <si>
    <t>3/4, 5/6, 7/8, 9/10, 11/12, XS, S, M, L, XL, 2XL, 3XL, 4XL</t>
  </si>
  <si>
    <t>103, 105</t>
  </si>
  <si>
    <t>Sudadera sin capucha con el pollito delante y «¡Ripo Ripo!» detrás.</t>
  </si>
  <si>
    <t>Dessuadora sense caputxa amb el pollet al davant i «Ripo Ripo!» al darrere.</t>
  </si>
  <si>
    <t>Sudadera.jpg</t>
  </si>
  <si>
    <t>medidasSudaderas.png</t>
  </si>
  <si>
    <t>Sudadera con capucha</t>
  </si>
  <si>
    <t>Dessuadora amb caputxa</t>
  </si>
  <si>
    <t>104, 106</t>
  </si>
  <si>
    <t>Sudadera con capucha y bolsillo, con el pollito delante y «¡Ripo Ripo!» detrás.</t>
  </si>
  <si>
    <t>Dessuadora amb caputxa i butxaca, amb el pollet al davant i «Ripo Ripo!» al darrere.</t>
  </si>
  <si>
    <t>SudaderaCapucha.jpg</t>
  </si>
  <si>
    <t>Tallas y guía copiadas de la sudadera sin capucha: confirmar.</t>
  </si>
  <si>
    <t>Adhesivo casco completo</t>
  </si>
  <si>
    <t>Adhesiu casc complet</t>
  </si>
  <si>
    <t>Juego de adhesivos para el casco, personalizado con nombre y número.</t>
  </si>
  <si>
    <t>Joc d'adhesius per al casc, personalitzat amb nom i número.</t>
  </si>
  <si>
    <t>pegatinas_casco.jpg</t>
  </si>
  <si>
    <t>¿Hay que elegir color de los adhesivos?</t>
  </si>
  <si>
    <t>Adhesivo escudo</t>
  </si>
  <si>
    <t>Adhesiu escut</t>
  </si>
  <si>
    <t>105, 106</t>
  </si>
  <si>
    <t>Adhesivo con el escudo del club.</t>
  </si>
  <si>
    <t>Adhesiu amb l'escut del club.</t>
  </si>
  <si>
    <t>No hay foto. ¿Medida del adhesivo?</t>
  </si>
  <si>
    <t>Toalla gimnasio 40x90 cm</t>
  </si>
  <si>
    <t>Tovallola gimnàs 40x90 cm</t>
  </si>
  <si>
    <t>Toalla de microfibra azul de 40x90 cm con el logo CHR.</t>
  </si>
  <si>
    <t>Tovallola de microfibra blava de 40x90 cm amb el logo CHR.</t>
  </si>
  <si>
    <t>Toalla-40x90.jpg</t>
  </si>
  <si>
    <t>«Microfibra» lo deduzco de la foto: confirmar.</t>
  </si>
  <si>
    <t>Toalla gimnasio 70x120 cm</t>
  </si>
  <si>
    <t>Tovallola gimnàs 70x120 cm</t>
  </si>
  <si>
    <t>Toalla de microfibra azul de 70x120 cm con el logo CHR.</t>
  </si>
  <si>
    <t>Tovallola de microfibra blava de 70x120 cm amb el logo CHR.</t>
  </si>
  <si>
    <t>Toalla-70x120.jpg</t>
  </si>
  <si>
    <t>Gorra</t>
  </si>
  <si>
    <t>Niño, Adulto</t>
  </si>
  <si>
    <t>Gorra amarilla con el escudo y «CHRIPOLLET».</t>
  </si>
  <si>
    <t>Gorra groga amb l'escut i «CHRIPOLLET».</t>
  </si>
  <si>
    <t>Gorra.png</t>
  </si>
  <si>
    <t>Plantilla de artículos · Botiga Club Hoquei Ripollet</t>
  </si>
  <si>
    <t>Cómo usarla</t>
  </si>
  <si>
    <t>Hoja «Artículos»: una fila por artículo. Hoja «Packs»: una fila por pack. Puedes añadir filas nuevas debajo.</t>
  </si>
  <si>
    <t>Cada artículo y cada pack tiene un ID numérico (artículos: 1, 2, 3…; packs: 101, 102…). No cambies un ID una vez usado.</t>
  </si>
  <si>
    <t>Para meter un artículo en un pack, escribe el ID del pack en «Incluido en packs» (ej.: 102, 104).</t>
  </si>
  <si>
    <t>En «Colores», «Opciones», «Tallas», «Incluido en packs», «A elegir uno entre» y «Regalo», separa los valores con comas.</t>
  </si>
  <si>
    <t>«Colores»: la familia elige uno. «Opciones»: otras elecciones (escudo o pollito…).</t>
  </si>
  <si>
    <t>Packs · «A elegir uno entre»: IDs de los artículos del pack de los que la familia escoge solo uno (ej.: 6, 7 = sudadera sin o con capucha).</t>
  </si>
  <si>
    <t>Packs · «Regalo»: IDs de los artículos del pack que van de regalo (se muestran como «¡de regalo!»).</t>
  </si>
  <si>
    <t>Packs · «Artículos incluidos» se rellena sola (ID + nombre) a partir de la hoja «Artículos»: sirve para comprobar que está bien.</t>
  </si>
  <si>
    <t>«Foto» y «Guía de tallas» son nombres de archivo dentro de la carpeta img del proyecto.</t>
  </si>
  <si>
    <t>Colores</t>
  </si>
  <si>
    <t>Duda: dato que no tengo claro o que he deducido. Confírmalo o corrígelo.</t>
  </si>
  <si>
    <t>Propuesta: texto redactado por Claude. Revísalo y cámbialo si quieres.</t>
  </si>
  <si>
    <t>Sin color: dato que me has dado tú.</t>
  </si>
  <si>
    <t>Precio pack (€)</t>
  </si>
  <si>
    <t>A elegir uno entre (ID de artículo, separados por comas)</t>
  </si>
  <si>
    <t>Regalo (ID de artículo, separados por comas)</t>
  </si>
  <si>
    <t>Artículos incluidos (automático)</t>
  </si>
  <si>
    <t>Pack JUGADOR</t>
  </si>
  <si>
    <t>Botella personalizada, buff y mochila a precio especial.</t>
  </si>
  <si>
    <t>Ampolla personalitzada, buff i motxilla a preu especial.</t>
  </si>
  <si>
    <t>Por separado: 26 €. ¿Foto del pack o montaje con los tres?</t>
  </si>
  <si>
    <t>Pack AFICIÓ 1</t>
  </si>
  <si>
    <t>Camiseta afició y bufanda a precio especial.</t>
  </si>
  <si>
    <t>Samarreta afició i bufanda a preu especial.</t>
  </si>
  <si>
    <t>Por separado: 25 €.</t>
  </si>
  <si>
    <t>Pack AFICIÓ 2 sin capucha</t>
  </si>
  <si>
    <t>Pack AFICIÓ 2 sense caputxa</t>
  </si>
  <si>
    <t>Sudadera sin capucha y bufanda a precio especial.</t>
  </si>
  <si>
    <t>Dessuadora sense caputxa i bufanda a preu especial.</t>
  </si>
  <si>
    <t>Por separado: 35 €.</t>
  </si>
  <si>
    <t>Pack AFICIÓ 2 con capucha</t>
  </si>
  <si>
    <t>Pack AFICIÓ 2 amb caputxa</t>
  </si>
  <si>
    <t>Sudadera con capucha y bufanda a precio especial.</t>
  </si>
  <si>
    <t>Dessuadora amb caputxa i bufanda a preu especial.</t>
  </si>
  <si>
    <t>Por separado: 36 €.</t>
  </si>
  <si>
    <t>Pack AFICIÓ 3 sin capucha</t>
  </si>
  <si>
    <t>Pack AFICIÓ 3 sense caputxa</t>
  </si>
  <si>
    <t>9</t>
  </si>
  <si>
    <t>Camiseta, sudadera sin capucha y bufanda a precio especial, ¡con un adhesivo del escudo de regalo!</t>
  </si>
  <si>
    <t>Samarreta, dessuadora sense caputxa i bufanda a preu especial, amb un adhesiu de l'escut de regal!</t>
  </si>
  <si>
    <t>Por separado: 50 €, sin contar el regalo.</t>
  </si>
  <si>
    <t>Pack AFICIÓ 3 con capucha</t>
  </si>
  <si>
    <t>Pack AFICIÓ 3 amb caputxa</t>
  </si>
  <si>
    <t>Camiseta, sudadera con capucha y bufanda a precio especial, ¡con un adhesivo del escudo de regalo!</t>
  </si>
  <si>
    <t>Samarreta, dessuadora amb caputxa i bufanda a preu especial, amb un adhesiu de l'escut de regal!</t>
  </si>
  <si>
    <t>Por separado: 51 €, sin contar el regalo.</t>
  </si>
  <si>
    <t>Categorías</t>
  </si>
  <si>
    <t>Puedes añadir categorías nuevas debajo de la lista: aparecerán en el desplegable.</t>
  </si>
  <si>
    <t>Azul claro, Azul marino, Amarillo</t>
  </si>
  <si>
    <t>Botella azul de hockey con boquilla larga, personalizada con nombre, número y escudo.</t>
  </si>
  <si>
    <t>Ampolla blava d'hoquei amb broquet llarg, personalitzada amb nom, número i escut.</t>
  </si>
  <si>
    <t>Mochila de cuerdas con el escudo del club.</t>
  </si>
  <si>
    <t>Motxilla de cordes amb l'escut del club.</t>
  </si>
  <si>
    <t>Buff «CHRIPOLLET» con el escudo.</t>
  </si>
  <si>
    <t>Buff «CHRIPOLLET» amb l'escut.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</si>
</sst>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10"/>
      <color rgb="FF667085"/>
      <name val="Arial"/>
    </font>
    <font>
      <b/>
      <sz val="11"/>
      <name val="Arial"/>
    </font>
    <font>
      <sz val="11"/>
      <name val="Arial"/>
    </font>
    <font>
      <i/>
      <sz val="11"/>
      <color rgb="FF667085"/>
      <name val="Arial"/>
    </font>
    <font>
      <b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DDEBF7"/>
      </patternFill>
    </fill>
    <fill>
      <patternFill patternType="solid">
        <fgColor rgb="FFFFF2A8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8CFDB"/>
      </left>
      <right style="thin">
        <color rgb="FFC8CFDB"/>
      </right>
      <top style="thin">
        <color rgb="FFC8CFDB"/>
      </top>
      <bottom style="thin">
        <color rgb="FFC8CF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2" fillId="0" borderId="0" xfId="0" applyFont="1"/>
    <xf numFmtId="0" fontId="3" fillId="0" borderId="0" xfId="0" applyFont="1"/>
    <xf numFmtId="0" fontId="2" fillId="4" borderId="0" xfId="0" applyFont="1" applyFill="1"/>
    <xf numFmtId="0" fontId="2" fillId="3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14" sqref="A14:XFD14"/>
    </sheetView>
  </sheetViews>
  <sheetFormatPr defaultRowHeight="14.25" x14ac:dyDescent="0.45"/>
  <cols>
    <col min="1" max="1" width="125" customWidth="1"/>
  </cols>
  <sheetData>
    <row r="1" spans="1:1" ht="17.649999999999999" x14ac:dyDescent="0.5">
      <c r="A1" s="1" t="s">
        <v>93</v>
      </c>
    </row>
    <row r="2" spans="1:1" x14ac:dyDescent="0.45">
      <c r="A2" s="2"/>
    </row>
    <row r="3" spans="1:1" x14ac:dyDescent="0.45">
      <c r="A3" s="3" t="s">
        <v>94</v>
      </c>
    </row>
    <row r="4" spans="1:1" x14ac:dyDescent="0.45">
      <c r="A4" s="2" t="s">
        <v>95</v>
      </c>
    </row>
    <row r="5" spans="1:1" x14ac:dyDescent="0.45">
      <c r="A5" s="2" t="s">
        <v>96</v>
      </c>
    </row>
    <row r="6" spans="1:1" x14ac:dyDescent="0.45">
      <c r="A6" s="2" t="s">
        <v>97</v>
      </c>
    </row>
    <row r="7" spans="1:1" x14ac:dyDescent="0.45">
      <c r="A7" s="2" t="s">
        <v>98</v>
      </c>
    </row>
    <row r="8" spans="1:1" x14ac:dyDescent="0.45">
      <c r="A8" s="2" t="s">
        <v>99</v>
      </c>
    </row>
    <row r="9" spans="1:1" x14ac:dyDescent="0.45">
      <c r="A9" s="2" t="s">
        <v>100</v>
      </c>
    </row>
    <row r="10" spans="1:1" x14ac:dyDescent="0.45">
      <c r="A10" s="2" t="s">
        <v>101</v>
      </c>
    </row>
    <row r="11" spans="1:1" x14ac:dyDescent="0.45">
      <c r="A11" s="2" t="s">
        <v>102</v>
      </c>
    </row>
    <row r="12" spans="1:1" x14ac:dyDescent="0.45">
      <c r="A12" s="2" t="s">
        <v>103</v>
      </c>
    </row>
    <row r="13" spans="1:1" x14ac:dyDescent="0.45">
      <c r="A13" s="2"/>
    </row>
    <row r="14" spans="1:1" x14ac:dyDescent="0.45">
      <c r="A14" s="3" t="s">
        <v>104</v>
      </c>
    </row>
    <row r="15" spans="1:1" x14ac:dyDescent="0.45">
      <c r="A15" s="4" t="s">
        <v>105</v>
      </c>
    </row>
    <row r="16" spans="1:1" x14ac:dyDescent="0.45">
      <c r="A16" s="5" t="s">
        <v>106</v>
      </c>
    </row>
    <row r="17" spans="1:1" x14ac:dyDescent="0.45">
      <c r="A17" s="2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tabSelected="1" workbookViewId="0">
      <pane xSplit="2" ySplit="1" topLeftCell="M3" activePane="bottomRight" state="frozen"/>
      <selection pane="topRight"/>
      <selection pane="bottomLeft"/>
      <selection pane="bottomRight" activeCell="P12" sqref="P4:P12"/>
    </sheetView>
  </sheetViews>
  <sheetFormatPr defaultRowHeight="14.25" x14ac:dyDescent="0.45"/>
  <cols>
    <col min="1" max="1" width="6" customWidth="1"/>
    <col min="2" max="3" width="26" customWidth="1"/>
    <col min="4" max="4" width="10" customWidth="1"/>
    <col min="5" max="5" width="13" customWidth="1"/>
    <col min="6" max="6" width="30" customWidth="1"/>
    <col min="7" max="7" width="22" customWidth="1"/>
    <col min="8" max="8" width="34" customWidth="1"/>
    <col min="9" max="9" width="26" customWidth="1"/>
    <col min="10" max="10" width="30" customWidth="1"/>
    <col min="11" max="12" width="44" customWidth="1"/>
    <col min="13" max="13" width="22" customWidth="1"/>
    <col min="14" max="14" width="24" customWidth="1"/>
    <col min="15" max="15" width="10" customWidth="1"/>
    <col min="16" max="16" width="46" customWidth="1"/>
  </cols>
  <sheetData>
    <row r="1" spans="1:16" ht="32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25.5" x14ac:dyDescent="0.45">
      <c r="A2" s="7">
        <v>1</v>
      </c>
      <c r="B2" s="8" t="s">
        <v>16</v>
      </c>
      <c r="C2" s="7" t="s">
        <v>16</v>
      </c>
      <c r="D2" s="9">
        <v>10</v>
      </c>
      <c r="E2" s="7" t="s">
        <v>17</v>
      </c>
      <c r="F2" s="7"/>
      <c r="G2" s="7"/>
      <c r="H2" s="7"/>
      <c r="I2" s="7"/>
      <c r="J2" s="7" t="s">
        <v>18</v>
      </c>
      <c r="K2" s="10" t="s">
        <v>19</v>
      </c>
      <c r="L2" s="10" t="s">
        <v>20</v>
      </c>
      <c r="M2" s="7" t="s">
        <v>21</v>
      </c>
      <c r="N2" s="7"/>
      <c r="O2" s="7" t="s">
        <v>22</v>
      </c>
      <c r="P2" s="7"/>
    </row>
    <row r="3" spans="1:16" ht="25.5" x14ac:dyDescent="0.45">
      <c r="A3" s="7">
        <v>2</v>
      </c>
      <c r="B3" s="8" t="s">
        <v>23</v>
      </c>
      <c r="C3" s="7" t="s">
        <v>24</v>
      </c>
      <c r="D3" s="9">
        <v>12</v>
      </c>
      <c r="E3" s="7" t="s">
        <v>25</v>
      </c>
      <c r="F3" s="7"/>
      <c r="G3" s="7"/>
      <c r="H3" s="7"/>
      <c r="I3" s="7" t="s">
        <v>26</v>
      </c>
      <c r="J3" s="7" t="s">
        <v>27</v>
      </c>
      <c r="K3" s="10" t="s">
        <v>144</v>
      </c>
      <c r="L3" s="10" t="s">
        <v>145</v>
      </c>
      <c r="M3" s="7" t="s">
        <v>28</v>
      </c>
      <c r="N3" s="7"/>
      <c r="O3" s="7" t="s">
        <v>22</v>
      </c>
      <c r="P3" s="7"/>
    </row>
    <row r="4" spans="1:16" x14ac:dyDescent="0.45">
      <c r="A4" s="7">
        <v>3</v>
      </c>
      <c r="B4" s="8" t="s">
        <v>29</v>
      </c>
      <c r="C4" s="7" t="s">
        <v>30</v>
      </c>
      <c r="D4" s="9">
        <v>6</v>
      </c>
      <c r="E4" s="7" t="s">
        <v>31</v>
      </c>
      <c r="F4" s="16" t="s">
        <v>32</v>
      </c>
      <c r="G4" s="7"/>
      <c r="H4" s="7"/>
      <c r="I4" s="7"/>
      <c r="J4" s="7" t="s">
        <v>27</v>
      </c>
      <c r="K4" s="10" t="s">
        <v>146</v>
      </c>
      <c r="L4" s="10" t="s">
        <v>147</v>
      </c>
      <c r="M4" s="7" t="s">
        <v>33</v>
      </c>
      <c r="N4" s="7"/>
      <c r="O4" s="7" t="s">
        <v>22</v>
      </c>
      <c r="P4" s="16" t="s">
        <v>34</v>
      </c>
    </row>
    <row r="5" spans="1:16" x14ac:dyDescent="0.45">
      <c r="A5" s="7">
        <v>4</v>
      </c>
      <c r="B5" s="8" t="s">
        <v>35</v>
      </c>
      <c r="C5" s="7" t="s">
        <v>35</v>
      </c>
      <c r="D5" s="9">
        <v>8</v>
      </c>
      <c r="E5" s="7" t="s">
        <v>25</v>
      </c>
      <c r="F5" s="16" t="s">
        <v>36</v>
      </c>
      <c r="G5" s="7"/>
      <c r="H5" s="7"/>
      <c r="I5" s="7"/>
      <c r="J5" s="7" t="s">
        <v>27</v>
      </c>
      <c r="K5" s="10" t="s">
        <v>148</v>
      </c>
      <c r="L5" s="10" t="s">
        <v>149</v>
      </c>
      <c r="M5" s="7" t="s">
        <v>37</v>
      </c>
      <c r="N5" s="7"/>
      <c r="O5" s="7" t="s">
        <v>22</v>
      </c>
      <c r="P5" s="16" t="s">
        <v>34</v>
      </c>
    </row>
    <row r="6" spans="1:16" ht="38.25" x14ac:dyDescent="0.45">
      <c r="A6" s="7">
        <v>5</v>
      </c>
      <c r="B6" s="8" t="s">
        <v>38</v>
      </c>
      <c r="C6" s="7" t="s">
        <v>39</v>
      </c>
      <c r="D6" s="9">
        <v>15</v>
      </c>
      <c r="E6" s="7" t="s">
        <v>40</v>
      </c>
      <c r="F6" s="16" t="s">
        <v>143</v>
      </c>
      <c r="G6" s="7"/>
      <c r="H6" s="7" t="s">
        <v>41</v>
      </c>
      <c r="I6" s="7"/>
      <c r="J6" s="7" t="s">
        <v>42</v>
      </c>
      <c r="K6" s="10" t="s">
        <v>43</v>
      </c>
      <c r="L6" s="10" t="s">
        <v>44</v>
      </c>
      <c r="M6" s="7" t="s">
        <v>45</v>
      </c>
      <c r="N6" s="7" t="s">
        <v>46</v>
      </c>
      <c r="O6" s="7" t="s">
        <v>22</v>
      </c>
      <c r="P6" s="16" t="s">
        <v>47</v>
      </c>
    </row>
    <row r="7" spans="1:16" ht="25.5" x14ac:dyDescent="0.45">
      <c r="A7" s="7">
        <v>6</v>
      </c>
      <c r="B7" s="8" t="s">
        <v>48</v>
      </c>
      <c r="C7" s="7" t="s">
        <v>49</v>
      </c>
      <c r="D7" s="9">
        <v>25</v>
      </c>
      <c r="E7" s="7" t="s">
        <v>50</v>
      </c>
      <c r="F7" s="16" t="s">
        <v>51</v>
      </c>
      <c r="G7" s="7"/>
      <c r="H7" s="7" t="s">
        <v>52</v>
      </c>
      <c r="I7" s="7"/>
      <c r="J7" s="7" t="s">
        <v>53</v>
      </c>
      <c r="K7" s="10" t="s">
        <v>54</v>
      </c>
      <c r="L7" s="10" t="s">
        <v>55</v>
      </c>
      <c r="M7" s="7" t="s">
        <v>56</v>
      </c>
      <c r="N7" s="7" t="s">
        <v>57</v>
      </c>
      <c r="O7" s="7" t="s">
        <v>22</v>
      </c>
      <c r="P7" s="16" t="s">
        <v>34</v>
      </c>
    </row>
    <row r="8" spans="1:16" ht="25.5" x14ac:dyDescent="0.45">
      <c r="A8" s="7">
        <v>7</v>
      </c>
      <c r="B8" s="8" t="s">
        <v>58</v>
      </c>
      <c r="C8" s="7" t="s">
        <v>59</v>
      </c>
      <c r="D8" s="9">
        <v>26</v>
      </c>
      <c r="E8" s="7" t="s">
        <v>50</v>
      </c>
      <c r="F8" s="16" t="s">
        <v>51</v>
      </c>
      <c r="G8" s="7"/>
      <c r="H8" s="16" t="s">
        <v>52</v>
      </c>
      <c r="I8" s="7"/>
      <c r="J8" s="7" t="s">
        <v>60</v>
      </c>
      <c r="K8" s="10" t="s">
        <v>61</v>
      </c>
      <c r="L8" s="10" t="s">
        <v>62</v>
      </c>
      <c r="M8" s="7" t="s">
        <v>63</v>
      </c>
      <c r="N8" s="11" t="s">
        <v>57</v>
      </c>
      <c r="O8" s="7" t="s">
        <v>22</v>
      </c>
      <c r="P8" s="16" t="s">
        <v>64</v>
      </c>
    </row>
    <row r="9" spans="1:16" ht="25.5" x14ac:dyDescent="0.45">
      <c r="A9" s="7">
        <v>8</v>
      </c>
      <c r="B9" s="8" t="s">
        <v>65</v>
      </c>
      <c r="C9" s="7" t="s">
        <v>66</v>
      </c>
      <c r="D9" s="9">
        <v>15</v>
      </c>
      <c r="E9" s="7" t="s">
        <v>25</v>
      </c>
      <c r="F9" s="7"/>
      <c r="G9" s="7"/>
      <c r="H9" s="7"/>
      <c r="I9" s="7" t="s">
        <v>26</v>
      </c>
      <c r="J9" s="7"/>
      <c r="K9" s="10" t="s">
        <v>67</v>
      </c>
      <c r="L9" s="10" t="s">
        <v>68</v>
      </c>
      <c r="M9" s="7" t="s">
        <v>69</v>
      </c>
      <c r="N9" s="7"/>
      <c r="O9" s="7" t="s">
        <v>22</v>
      </c>
      <c r="P9" s="16" t="s">
        <v>70</v>
      </c>
    </row>
    <row r="10" spans="1:16" x14ac:dyDescent="0.45">
      <c r="A10" s="7">
        <v>9</v>
      </c>
      <c r="B10" s="8" t="s">
        <v>71</v>
      </c>
      <c r="C10" s="7" t="s">
        <v>72</v>
      </c>
      <c r="D10" s="9">
        <v>3</v>
      </c>
      <c r="E10" s="7" t="s">
        <v>25</v>
      </c>
      <c r="F10" s="7"/>
      <c r="G10" s="7"/>
      <c r="H10" s="7"/>
      <c r="I10" s="7"/>
      <c r="J10" s="7" t="s">
        <v>73</v>
      </c>
      <c r="K10" s="10" t="s">
        <v>74</v>
      </c>
      <c r="L10" s="10" t="s">
        <v>75</v>
      </c>
      <c r="M10" s="11"/>
      <c r="N10" s="7"/>
      <c r="O10" s="7" t="s">
        <v>22</v>
      </c>
      <c r="P10" s="16" t="s">
        <v>76</v>
      </c>
    </row>
    <row r="11" spans="1:16" ht="25.5" x14ac:dyDescent="0.45">
      <c r="A11" s="7">
        <v>10</v>
      </c>
      <c r="B11" s="8" t="s">
        <v>77</v>
      </c>
      <c r="C11" s="7" t="s">
        <v>78</v>
      </c>
      <c r="D11" s="9">
        <v>8</v>
      </c>
      <c r="E11" s="7" t="s">
        <v>25</v>
      </c>
      <c r="F11" s="7"/>
      <c r="G11" s="7"/>
      <c r="H11" s="7"/>
      <c r="I11" s="7"/>
      <c r="J11" s="7"/>
      <c r="K11" s="10" t="s">
        <v>79</v>
      </c>
      <c r="L11" s="10" t="s">
        <v>80</v>
      </c>
      <c r="M11" s="7" t="s">
        <v>81</v>
      </c>
      <c r="N11" s="7"/>
      <c r="O11" s="7" t="s">
        <v>22</v>
      </c>
      <c r="P11" s="16" t="s">
        <v>82</v>
      </c>
    </row>
    <row r="12" spans="1:16" ht="25.5" x14ac:dyDescent="0.45">
      <c r="A12" s="7">
        <v>11</v>
      </c>
      <c r="B12" s="8" t="s">
        <v>83</v>
      </c>
      <c r="C12" s="7" t="s">
        <v>84</v>
      </c>
      <c r="D12" s="9">
        <v>12</v>
      </c>
      <c r="E12" s="7" t="s">
        <v>25</v>
      </c>
      <c r="F12" s="7"/>
      <c r="G12" s="7"/>
      <c r="H12" s="7"/>
      <c r="I12" s="7"/>
      <c r="J12" s="7"/>
      <c r="K12" s="10" t="s">
        <v>85</v>
      </c>
      <c r="L12" s="10" t="s">
        <v>86</v>
      </c>
      <c r="M12" s="7" t="s">
        <v>87</v>
      </c>
      <c r="N12" s="7"/>
      <c r="O12" s="7" t="s">
        <v>22</v>
      </c>
      <c r="P12" s="16" t="s">
        <v>82</v>
      </c>
    </row>
    <row r="13" spans="1:16" x14ac:dyDescent="0.45">
      <c r="A13" s="7">
        <v>12</v>
      </c>
      <c r="B13" s="8" t="s">
        <v>88</v>
      </c>
      <c r="C13" s="7" t="s">
        <v>88</v>
      </c>
      <c r="D13" s="9">
        <v>8</v>
      </c>
      <c r="E13" s="7" t="s">
        <v>25</v>
      </c>
      <c r="F13" s="7"/>
      <c r="G13" s="7"/>
      <c r="H13" s="7" t="s">
        <v>89</v>
      </c>
      <c r="I13" s="7"/>
      <c r="J13" s="7"/>
      <c r="K13" s="10" t="s">
        <v>90</v>
      </c>
      <c r="L13" s="10" t="s">
        <v>91</v>
      </c>
      <c r="M13" s="7" t="s">
        <v>92</v>
      </c>
      <c r="N13" s="7"/>
      <c r="O13" s="7" t="s">
        <v>22</v>
      </c>
      <c r="P13" s="7"/>
    </row>
  </sheetData>
  <autoFilter ref="A1:P13" xr:uid="{00000000-0009-0000-0000-000001000000}"/>
  <dataValidations count="2">
    <dataValidation type="list" allowBlank="1" sqref="O2:O200" xr:uid="{00000000-0002-0000-0100-000001000000}">
      <formula1>"Sí,No"</formula1>
    </dataValidation>
    <dataValidation type="decimal" operator="greaterThanOrEqual" allowBlank="1" sqref="D2:D200" xr:uid="{00000000-0002-0000-01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Listas!$A$2:$A$30</xm:f>
          </x14:formula1>
          <xm:sqref>E2:E200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3" width="20" customWidth="1"/>
    <col min="4" max="4" width="12" customWidth="1"/>
    <col min="5" max="5" width="30" customWidth="1"/>
    <col min="6" max="6" width="22" customWidth="1"/>
    <col min="7" max="8" width="44" customWidth="1"/>
    <col min="9" max="9" width="18" customWidth="1"/>
    <col min="10" max="10" width="10" customWidth="1"/>
    <col min="11" max="12" width="44" customWidth="1"/>
  </cols>
  <sheetData>
    <row r="1" spans="1:12" ht="32" customHeight="1" x14ac:dyDescent="0.45">
      <c r="A1" s="6" t="s">
        <v>0</v>
      </c>
      <c r="B1" s="6" t="s">
        <v>1</v>
      </c>
      <c r="C1" s="6" t="s">
        <v>2</v>
      </c>
      <c r="D1" s="6" t="s">
        <v>108</v>
      </c>
      <c r="E1" s="6" t="s">
        <v>109</v>
      </c>
      <c r="F1" s="6" t="s">
        <v>110</v>
      </c>
      <c r="G1" s="6" t="s">
        <v>10</v>
      </c>
      <c r="H1" s="6" t="s">
        <v>11</v>
      </c>
      <c r="I1" s="6" t="s">
        <v>12</v>
      </c>
      <c r="J1" s="6" t="s">
        <v>14</v>
      </c>
      <c r="K1" s="6" t="s">
        <v>111</v>
      </c>
      <c r="L1" s="6" t="s">
        <v>15</v>
      </c>
    </row>
    <row r="2" spans="1:12" ht="25.5" x14ac:dyDescent="0.45">
      <c r="A2" s="7">
        <v>101</v>
      </c>
      <c r="B2" s="8" t="s">
        <v>112</v>
      </c>
      <c r="C2" s="7" t="s">
        <v>112</v>
      </c>
      <c r="D2" s="9">
        <v>22</v>
      </c>
      <c r="E2" s="7"/>
      <c r="F2" s="7"/>
      <c r="G2" s="10" t="s">
        <v>113</v>
      </c>
      <c r="H2" s="10" t="s">
        <v>114</v>
      </c>
      <c r="I2" s="11"/>
      <c r="J2" s="7" t="s">
        <v>22</v>
      </c>
      <c r="K2" s="12" t="str">
        <f t="array" ref="K2">_xlfn.TEXTJOIN(", ",TRUE,IF(ISNUMBER(SEARCH(","&amp;A2&amp;",",","&amp;SUBSTITUTE(Artículos!$J$2:$J$200," ","")&amp;",")),Artículos!$A$2:$A$200&amp;" "&amp;Artículos!$B$2:$B$200,""))</f>
        <v>2 Botella personalizada, 3 Mochila, 4 Buff</v>
      </c>
      <c r="L2" s="11" t="s">
        <v>115</v>
      </c>
    </row>
    <row r="3" spans="1:12" x14ac:dyDescent="0.45">
      <c r="A3" s="7">
        <v>102</v>
      </c>
      <c r="B3" s="8" t="s">
        <v>116</v>
      </c>
      <c r="C3" s="7" t="s">
        <v>116</v>
      </c>
      <c r="D3" s="9">
        <v>22</v>
      </c>
      <c r="E3" s="7"/>
      <c r="F3" s="7"/>
      <c r="G3" s="10" t="s">
        <v>117</v>
      </c>
      <c r="H3" s="10" t="s">
        <v>118</v>
      </c>
      <c r="I3" s="11"/>
      <c r="J3" s="7" t="s">
        <v>22</v>
      </c>
      <c r="K3" s="12" t="str">
        <f t="array" ref="K3">_xlfn.TEXTJOIN(", ",TRUE,IF(ISNUMBER(SEARCH(","&amp;A3&amp;",",","&amp;SUBSTITUTE(Artículos!$J$2:$J$200," ","")&amp;",")),Artículos!$A$2:$A$200&amp;" "&amp;Artículos!$B$2:$B$200,""))</f>
        <v>1 Bufanda, 5 Camiseta afició</v>
      </c>
      <c r="L3" s="7" t="s">
        <v>119</v>
      </c>
    </row>
    <row r="4" spans="1:12" ht="26.25" x14ac:dyDescent="0.45">
      <c r="A4" s="7">
        <v>103</v>
      </c>
      <c r="B4" s="8" t="s">
        <v>120</v>
      </c>
      <c r="C4" s="7" t="s">
        <v>121</v>
      </c>
      <c r="D4" s="9">
        <v>32</v>
      </c>
      <c r="E4" s="7"/>
      <c r="F4" s="7"/>
      <c r="G4" s="10" t="s">
        <v>122</v>
      </c>
      <c r="H4" s="10" t="s">
        <v>123</v>
      </c>
      <c r="I4" s="11"/>
      <c r="J4" s="7" t="s">
        <v>22</v>
      </c>
      <c r="K4" s="12" t="str">
        <f t="array" ref="K4">_xlfn.TEXTJOIN(", ",TRUE,IF(ISNUMBER(SEARCH(","&amp;A4&amp;",",","&amp;SUBSTITUTE(Artículos!$J$2:$J$200," ","")&amp;",")),Artículos!$A$2:$A$200&amp;" "&amp;Artículos!$B$2:$B$200,""))</f>
        <v>1 Bufanda, 6 Sudadera sin capucha</v>
      </c>
      <c r="L4" s="7" t="s">
        <v>124</v>
      </c>
    </row>
    <row r="5" spans="1:12" ht="26.25" x14ac:dyDescent="0.45">
      <c r="A5" s="7">
        <v>104</v>
      </c>
      <c r="B5" s="8" t="s">
        <v>125</v>
      </c>
      <c r="C5" s="7" t="s">
        <v>126</v>
      </c>
      <c r="D5" s="9">
        <v>33</v>
      </c>
      <c r="E5" s="7"/>
      <c r="F5" s="7"/>
      <c r="G5" s="10" t="s">
        <v>127</v>
      </c>
      <c r="H5" s="10" t="s">
        <v>128</v>
      </c>
      <c r="I5" s="11"/>
      <c r="J5" s="7" t="s">
        <v>22</v>
      </c>
      <c r="K5" s="12" t="str">
        <f t="array" ref="K5">_xlfn.TEXTJOIN(", ",TRUE,IF(ISNUMBER(SEARCH(","&amp;A5&amp;",",","&amp;SUBSTITUTE(Artículos!$J$2:$J$200," ","")&amp;",")),Artículos!$A$2:$A$200&amp;" "&amp;Artículos!$B$2:$B$200,""))</f>
        <v>1 Bufanda, 7 Sudadera con capucha</v>
      </c>
      <c r="L5" s="7" t="s">
        <v>129</v>
      </c>
    </row>
    <row r="6" spans="1:12" ht="26.25" x14ac:dyDescent="0.45">
      <c r="A6" s="7">
        <v>105</v>
      </c>
      <c r="B6" s="8" t="s">
        <v>130</v>
      </c>
      <c r="C6" s="7" t="s">
        <v>131</v>
      </c>
      <c r="D6" s="9">
        <v>45</v>
      </c>
      <c r="E6" s="7"/>
      <c r="F6" s="7" t="s">
        <v>132</v>
      </c>
      <c r="G6" s="10" t="s">
        <v>133</v>
      </c>
      <c r="H6" s="10" t="s">
        <v>134</v>
      </c>
      <c r="I6" s="11"/>
      <c r="J6" s="7" t="s">
        <v>22</v>
      </c>
      <c r="K6" s="12" t="str">
        <f t="array" ref="K6">_xlfn.TEXTJOIN(", ",TRUE,IF(ISNUMBER(SEARCH(","&amp;A6&amp;",",","&amp;SUBSTITUTE(Artículos!$J$2:$J$200," ","")&amp;",")),Artículos!$A$2:$A$200&amp;" "&amp;Artículos!$B$2:$B$200,""))</f>
        <v>1 Bufanda, 5 Camiseta afició, 6 Sudadera sin capucha, 9 Adhesivo escudo</v>
      </c>
      <c r="L6" s="7" t="s">
        <v>135</v>
      </c>
    </row>
    <row r="7" spans="1:12" ht="26.25" x14ac:dyDescent="0.45">
      <c r="A7" s="7">
        <v>106</v>
      </c>
      <c r="B7" s="8" t="s">
        <v>136</v>
      </c>
      <c r="C7" s="7" t="s">
        <v>137</v>
      </c>
      <c r="D7" s="9">
        <v>46</v>
      </c>
      <c r="E7" s="7"/>
      <c r="F7" s="7" t="s">
        <v>132</v>
      </c>
      <c r="G7" s="10" t="s">
        <v>138</v>
      </c>
      <c r="H7" s="10" t="s">
        <v>139</v>
      </c>
      <c r="I7" s="11"/>
      <c r="J7" s="7" t="s">
        <v>22</v>
      </c>
      <c r="K7" s="12" t="str">
        <f t="array" ref="K7">_xlfn.TEXTJOIN(", ",TRUE,IF(ISNUMBER(SEARCH(","&amp;A7&amp;",",","&amp;SUBSTITUTE(Artículos!$J$2:$J$200," ","")&amp;",")),Artículos!$A$2:$A$200&amp;" "&amp;Artículos!$B$2:$B$200,""))</f>
        <v>1 Bufanda, 5 Camiseta afició, 7 Sudadera con capucha, 9 Adhesivo escudo</v>
      </c>
      <c r="L7" s="7" t="s">
        <v>140</v>
      </c>
    </row>
  </sheetData>
  <autoFilter ref="A1:L7" xr:uid="{00000000-0009-0000-0000-000002000000}"/>
  <dataValidations count="2">
    <dataValidation type="list" allowBlank="1" sqref="J2:J200" xr:uid="{00000000-0002-0000-0200-000000000000}">
      <formula1>"Sí,No"</formula1>
    </dataValidation>
    <dataValidation type="decimal" operator="greaterThanOrEqual" allowBlank="1" sqref="D2:D200" xr:uid="{00000000-0002-0000-0200-000001000000}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25" x14ac:dyDescent="0.45"/>
  <cols>
    <col min="1" max="1" width="16" customWidth="1"/>
  </cols>
  <sheetData>
    <row r="1" spans="1:3" x14ac:dyDescent="0.45">
      <c r="A1" s="13" t="s">
        <v>141</v>
      </c>
      <c r="C1" s="14" t="s">
        <v>142</v>
      </c>
    </row>
    <row r="2" spans="1:3" x14ac:dyDescent="0.45">
      <c r="A2" s="15" t="s">
        <v>40</v>
      </c>
    </row>
    <row r="3" spans="1:3" x14ac:dyDescent="0.45">
      <c r="A3" s="15" t="s">
        <v>50</v>
      </c>
    </row>
    <row r="4" spans="1:3" x14ac:dyDescent="0.45">
      <c r="A4" s="15" t="s">
        <v>25</v>
      </c>
    </row>
    <row r="5" spans="1:3" x14ac:dyDescent="0.45">
      <c r="A5" s="15" t="s">
        <v>17</v>
      </c>
    </row>
    <row r="6" spans="1:3" x14ac:dyDescent="0.45">
      <c r="A6" s="1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Leyenda</vt:lpstr>
      <vt:lpstr>Artículos</vt:lpstr>
      <vt:lpstr>Packs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</cp:lastModifiedBy>
  <dcterms:created xsi:type="dcterms:W3CDTF">2026-10-08T18:34:53Z</dcterms:created>
  <dcterms:modified xsi:type="dcterms:W3CDTF">2026-10-08T18:45:37Z</dcterms:modified>
</cp:coreProperties>
</file>